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inancial KPI" sheetId="2" r:id="rId6"/>
    <sheet state="visible" name="Income Detail" sheetId="3" r:id="rId7"/>
    <sheet state="visible" name="Expenses Detail" sheetId="4" r:id="rId8"/>
    <sheet state="visible" name="Cash Flow" sheetId="5" r:id="rId9"/>
    <sheet state="visible" name="Operational" sheetId="6" r:id="rId10"/>
    <sheet state="visible" name="AR" sheetId="7" r:id="rId11"/>
    <sheet state="visible" name="HR &amp; Compliance" sheetId="8" r:id="rId12"/>
    <sheet state="visible" name="Marketing" sheetId="9" r:id="rId13"/>
  </sheets>
  <definedNames/>
  <calcPr/>
</workbook>
</file>

<file path=xl/sharedStrings.xml><?xml version="1.0" encoding="utf-8"?>
<sst xmlns="http://schemas.openxmlformats.org/spreadsheetml/2006/main" count="236" uniqueCount="127">
  <si>
    <t>Payor Mix</t>
  </si>
  <si>
    <t>Dsiplay Of Cost is good</t>
  </si>
  <si>
    <t>The Payor Mix ahould be bar Diagrams where each offic e is stagged with difeerent payors in each bar, over the comparable period of time</t>
  </si>
  <si>
    <t xml:space="preserve">Also, the line grpahs for a selected payor for that office vs All the offices </t>
  </si>
  <si>
    <t>Display of Cost categories by office</t>
  </si>
  <si>
    <t>Provider Mix</t>
  </si>
  <si>
    <t>Total Collection by Provider vs Payroll of the providers</t>
  </si>
  <si>
    <t>Section</t>
  </si>
  <si>
    <t>Metric</t>
  </si>
  <si>
    <t>Definition</t>
  </si>
  <si>
    <t>Aspro Collections vs QBO Collections</t>
  </si>
  <si>
    <t>Categories</t>
  </si>
  <si>
    <t>Revenue</t>
  </si>
  <si>
    <t>Gross Production</t>
  </si>
  <si>
    <t>Total clinical production</t>
  </si>
  <si>
    <t>Aspro Dental</t>
  </si>
  <si>
    <t>Office scorecard should hv Display 1 &amp; everything based out of it, which means putting Vital numbes, Production, Collection, Expenses, EBIDTA before Management, EBIDTA After Management &amp; %</t>
  </si>
  <si>
    <t xml:space="preserve">Step 1 </t>
  </si>
  <si>
    <t>Net Production</t>
  </si>
  <si>
    <t>Combine Dental Practice &amp; its respective subDSo and club this data as ONE Company</t>
  </si>
  <si>
    <t>Gross production less contractual and other approved production adjustments</t>
  </si>
  <si>
    <t>Name that Company BAsed upon City &amp; State example CA Bakersfied &amp; Patil Dental Group as Dental Office - Bakersfield</t>
  </si>
  <si>
    <t xml:space="preserve">Provide data as ONE for the Yellow items in Financial </t>
  </si>
  <si>
    <t>Find out what should be in each of these rows</t>
  </si>
  <si>
    <t>Net Collections</t>
  </si>
  <si>
    <t>Actual patient and insurance receipts, net of refunds</t>
  </si>
  <si>
    <t>QBO</t>
  </si>
  <si>
    <t>Provider Compensation</t>
  </si>
  <si>
    <t>Provider Costs</t>
  </si>
  <si>
    <t>Staff Payroll</t>
  </si>
  <si>
    <t>Dentist compensation, hygienists, bonuses, related payroll taxes and benefits</t>
  </si>
  <si>
    <t>Provider Training &amp; Hiring</t>
  </si>
  <si>
    <t>Dental Supplies</t>
  </si>
  <si>
    <t>Dentist - 503.1
Hygienists - 504
Bonus - 506.3
Payroll Taxes - 576
401K benefits - 506.2</t>
  </si>
  <si>
    <t>Laboratory</t>
  </si>
  <si>
    <t>Rent / Occupancy</t>
  </si>
  <si>
    <t>Non-provider wages, payroll taxes, benefits and overtime</t>
  </si>
  <si>
    <t>Marketing</t>
  </si>
  <si>
    <t>Recruitment, onboarding, continuing education and training</t>
  </si>
  <si>
    <t>Recruitment - 505
Training &amp; Education - 517</t>
  </si>
  <si>
    <t>Small Equipment Lease</t>
  </si>
  <si>
    <t>Operating Expenses</t>
  </si>
  <si>
    <t>Dental materials and consumables &amp; Dental Equipment Maintenance, amount and % of collections</t>
  </si>
  <si>
    <t>Other Expenses</t>
  </si>
  <si>
    <t>Office EBITDA before Management Fees</t>
  </si>
  <si>
    <t>Dental lab fees; amount and % of collections</t>
  </si>
  <si>
    <t>DSO Management Fees</t>
  </si>
  <si>
    <t>Rent, utilities, CAM/NNN and occupancy-related costs like any Repair for the facilities</t>
  </si>
  <si>
    <t>Office EBITDA</t>
  </si>
  <si>
    <t>Marketing expense, new patients and acquisition cost</t>
  </si>
  <si>
    <t>Operating Cash Flow</t>
  </si>
  <si>
    <t>Repairs, office expenses, fees &amp; CC expenses, insurance and legal expenses &amp; website &amp; IT</t>
  </si>
  <si>
    <t>Repairs - 560
Office Exp - 554.1
Fees - 512
CC - We don't have CC expenses on Dental offices, only Sabuska uses CC
Insurance - 530
Legal &amp; Professional - 542
Website &amp; IT - 570</t>
  </si>
  <si>
    <t>Profitability</t>
  </si>
  <si>
    <t>Detailed expenses Display</t>
  </si>
  <si>
    <t>Operating earnings before interest, taxes, depreciation and amortization</t>
  </si>
  <si>
    <t>Management and support fees charged to the office</t>
  </si>
  <si>
    <t>Dentist compensation, bonuses, related payroll taxes and benefits</t>
  </si>
  <si>
    <t>Cash Flow</t>
  </si>
  <si>
    <t xml:space="preserve">Actual cash generated by operating activities, this should also take into consideration the Loan repayments </t>
  </si>
  <si>
    <t>Rent, utilities, CAM/NNN and  Taxes</t>
  </si>
  <si>
    <t>Repair Dental vs Facilities</t>
  </si>
  <si>
    <t>KPI</t>
  </si>
  <si>
    <t>What is in it</t>
  </si>
  <si>
    <t>Category</t>
  </si>
  <si>
    <t>Every Income account: 402.1 cash/patient checks, 402.2 insurance checks &amp; EFTs, 402.3 Medicaid, 402.4 merchant bankcard, 402.5 patient financing, less 401 refunds. Not 801 Other income.</t>
  </si>
  <si>
    <t>Description</t>
  </si>
  <si>
    <t>Amount ($)</t>
  </si>
  <si>
    <t>500 Doctor's payroll, 501 Associate dentist, contract dentists (503.1 Dentist), hygienists, plus their proportional share of payroll taxes (576), benefits (506), bonuses and payroll service fees (555).</t>
  </si>
  <si>
    <t>502 Dental assistant, 503 Staff payroll, 503.3 Temp agency, other contract labor, wages, overtime, laundry/uniforms, plus the rest of payroll taxes, benefits and bonuses.</t>
  </si>
  <si>
    <t>505 HR recruiting &amp; training, 517 Continuing education courses.</t>
  </si>
  <si>
    <t>Beginning Cash Balance</t>
  </si>
  <si>
    <t>Cash available at beginning of month</t>
  </si>
  <si>
    <t>521 Dental supplies (implants, emergency, other), "Supplies &amp; Labs" in Bakersfield, and 560.1 dental equipment repairs.</t>
  </si>
  <si>
    <t>Cash Inflows</t>
  </si>
  <si>
    <t>Patient and insurance collections, other receipts</t>
  </si>
  <si>
    <t>536 Dental labs (fixed, removable, Invisalign).</t>
  </si>
  <si>
    <t>Operating Expenses Paid</t>
  </si>
  <si>
    <t>Provider payroll, staff payroll, supplies, lab, rent, marketing, DSO fees, other operating expenses including interest</t>
  </si>
  <si>
    <t>559 Rent &amp; NNN / CAM, 586 Electric, gas, water, trash, 560.2/560.3 non-dental repairs and cleaning, 546 waste disposal, alarm.</t>
  </si>
  <si>
    <t>Cash inflows minus operating expenses paid</t>
  </si>
  <si>
    <t>Loan Principal Payments</t>
  </si>
  <si>
    <t>507 Advertising (digital, print, other), anything named marketing or promotion.</t>
  </si>
  <si>
    <t>Every other operating expense: 530 insurance, 512 bank &amp; merchant fees, 516 software, 542 legal &amp; professional, 554 office &amp; postage, 545 taxes &amp; licenses, 584 phone &amp; internet, 540 equipment lease, 570 website &amp; IT, 544 meals, 901 uncategorized.</t>
  </si>
  <si>
    <t>Net Collections minus the eight cost rows above.</t>
  </si>
  <si>
    <t>650.1 Corporation overhead charges, 650.2 Direct / pass-thru charges, 650.3 Other management charges (paid to Sabuska).</t>
  </si>
  <si>
    <t>EBITDA before fees minus DSO Management Fees.</t>
  </si>
  <si>
    <t>Principal portion of loan payments</t>
  </si>
  <si>
    <t>Capital Expenditures</t>
  </si>
  <si>
    <t>Equipment purchases, renovations, improvements</t>
  </si>
  <si>
    <t>Partner Contributions</t>
  </si>
  <si>
    <t>Additional investments by partners</t>
  </si>
  <si>
    <t>Partner Distributions</t>
  </si>
  <si>
    <t>Cash paid to partners</t>
  </si>
  <si>
    <t>Net Change in Cash</t>
  </si>
  <si>
    <t>Total cash inflows minus total cash outflows</t>
  </si>
  <si>
    <t>Ending Cash Balance</t>
  </si>
  <si>
    <t>Beginning cash plus net change in cash</t>
  </si>
  <si>
    <t>Cash Available for Distribution</t>
  </si>
  <si>
    <t>Cash available after obligations and required reserves</t>
  </si>
  <si>
    <t>Every bank-account movement in both companies whose other side is an operating item (income, expenses, receivables, payables, cards). Loans, equipment purchases and owner draws are excluded.</t>
  </si>
  <si>
    <t>Operational KPI reports i</t>
  </si>
  <si>
    <t>Practice Pulse</t>
  </si>
  <si>
    <t>Monthly A/R Snapshot</t>
  </si>
  <si>
    <t>PMS</t>
  </si>
  <si>
    <t>Monthly New Patient Referral Report</t>
  </si>
  <si>
    <t>Claims that are Billed to the insurance, but are not paid for last 30-60-90</t>
  </si>
  <si>
    <t>Monthly Patient Visits Breakdown</t>
  </si>
  <si>
    <t>Monthly New Patient Report</t>
  </si>
  <si>
    <t>Monthly Deposit Report</t>
  </si>
  <si>
    <t>Service Type Productivity</t>
  </si>
  <si>
    <t>Call Performance</t>
  </si>
  <si>
    <t>Call Rail</t>
  </si>
  <si>
    <t>Daily Practice Heartbeat</t>
  </si>
  <si>
    <t>Active Patient Vs Inactive Patient vs Total Patient</t>
  </si>
  <si>
    <t>Patients with an appointment</t>
  </si>
  <si>
    <t>Tx Plan Acceptance Rate</t>
  </si>
  <si>
    <t xml:space="preserve">Unschedulded Tx </t>
  </si>
  <si>
    <t>Tx Plan Per Provider</t>
  </si>
  <si>
    <t xml:space="preserve">Lab Cases </t>
  </si>
  <si>
    <t>Report to find out that the cases in the lab for more than 30 days, and to find out why the cases are not into patients mouth</t>
  </si>
  <si>
    <t>HR</t>
  </si>
  <si>
    <t>Total Open Positions</t>
  </si>
  <si>
    <t>Positions Filled</t>
  </si>
  <si>
    <t>Marketing Performance Checked thru PMS &amp; Google &amp; Facebook</t>
  </si>
  <si>
    <t>Number of Patients Actually Show up from facebook &amp; Instagram</t>
  </si>
  <si>
    <t>ROI Per Patient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</si>
</sst>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B0B0B"/>
      <name val="Arial"/>
    </font>
    <font>
      <i/>
      <color theme="1"/>
      <name val="Arial"/>
      <scheme val="minor"/>
    </font>
    <font>
      <strike/>
      <color theme="1"/>
      <name val="Arial"/>
      <scheme val="minor"/>
    </font>
    <font>
      <b/>
      <color rgb="FF000000"/>
      <name val="-apple-system"/>
    </font>
    <font>
      <color rgb="FF000000"/>
      <name val="-apple-system"/>
    </font>
    <font>
      <color rgb="FFFF0000"/>
      <name val="Arial"/>
      <scheme val="minor"/>
    </font>
    <font>
      <color rgb="FFCCCCCC"/>
      <name val="-apple-system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CFCFB"/>
        <bgColor rgb="FFFCFCF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172B4D"/>
        <bgColor rgb="FF172B4D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3" fontId="2" numFmtId="0" xfId="0" applyAlignment="1" applyFill="1" applyFont="1">
      <alignment readingOrder="0"/>
    </xf>
    <xf borderId="0" fillId="3" fontId="2" numFmtId="0" xfId="0" applyFill="1" applyFont="1"/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3" fillId="3" fontId="2" numFmtId="0" xfId="0" applyAlignment="1" applyBorder="1" applyFill="1" applyFont="1">
      <alignment readingOrder="0"/>
    </xf>
    <xf borderId="0" fillId="4" fontId="2" numFmtId="0" xfId="0" applyAlignment="1" applyFill="1" applyFont="1">
      <alignment readingOrder="0"/>
    </xf>
    <xf borderId="4" fillId="3" fontId="2" numFmtId="0" xfId="0" applyAlignment="1" applyBorder="1" applyFill="1" applyFont="1">
      <alignment readingOrder="0"/>
    </xf>
    <xf borderId="0" fillId="4" fontId="2" numFmtId="0" xfId="0" applyAlignment="1" applyFill="1" applyFont="1">
      <alignment horizontal="left" readingOrder="0"/>
    </xf>
    <xf borderId="3" fillId="3" fontId="5" numFmtId="0" xfId="0" applyAlignment="1" applyBorder="1" applyFill="1" applyFont="1">
      <alignment readingOrder="0"/>
    </xf>
    <xf borderId="3" fillId="3" fontId="1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4" fillId="3" fontId="5" numFmtId="0" xfId="0" applyAlignment="1" applyBorder="1" applyFill="1" applyFont="1">
      <alignment readingOrder="0"/>
    </xf>
    <xf borderId="0" fillId="0" fontId="5" numFmtId="0" xfId="0" applyFont="1"/>
    <xf borderId="4" fillId="3" fontId="1" numFmtId="0" xfId="0" applyAlignment="1" applyBorder="1" applyFill="1" applyFont="1">
      <alignment readingOrder="0"/>
    </xf>
    <xf borderId="6" fillId="3" fontId="2" numFmtId="0" xfId="0" applyAlignment="1" applyBorder="1" applyFill="1" applyFont="1">
      <alignment readingOrder="0"/>
    </xf>
    <xf borderId="7" fillId="5" fontId="6" numFmtId="0" xfId="0" applyAlignment="1" applyBorder="1" applyFill="1" applyFont="1">
      <alignment horizontal="center" readingOrder="0"/>
    </xf>
    <xf borderId="7" fillId="5" fontId="7" numFmtId="0" xfId="0" applyAlignment="1" applyBorder="1" applyFill="1" applyFont="1">
      <alignment readingOrder="0"/>
    </xf>
    <xf borderId="0" fillId="0" fontId="8" numFmtId="0" xfId="0" applyAlignment="1" applyFont="1">
      <alignment readingOrder="0"/>
    </xf>
    <xf borderId="7" fillId="6" fontId="9" numFmtId="3" xfId="0" applyAlignment="1" applyBorder="1" applyFill="1" applyFont="1" applyNumberFormat="1">
      <alignment readingOrder="0"/>
    </xf>
    <xf borderId="7" fillId="6" fontId="9" numFmtId="0" xfId="0" applyAlignment="1" applyBorder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0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2">
      <c r="A2" s="3" t="s">
        <v>1</v>
      </c>
    </row>
    <row r="3">
      <c r="A3" s="5" t="s">
        <v>4</v>
      </c>
    </row>
    <row r="6">
      <c r="A6" s="5" t="s">
        <v>16</v>
      </c>
    </row>
    <row r="9">
      <c r="A9" s="3" t="s">
        <v>17</v>
      </c>
      <c r="B9" s="3" t="s">
        <v>19</v>
      </c>
    </row>
    <row r="10">
      <c r="B10" s="3" t="s">
        <v>21</v>
      </c>
    </row>
    <row r="11">
      <c r="B11" s="3" t="s">
        <v>22</v>
      </c>
    </row>
    <row r="12">
      <c r="B12" s="8" t="s">
        <v>23</v>
      </c>
      <c r="C12" s="9"/>
      <c r="D12" s="9"/>
    </row>
    <row r="13">
      <c r="B13" s="10" t="s">
        <v>24</v>
      </c>
      <c r="C13" s="9"/>
      <c r="D13" s="9"/>
    </row>
    <row r="14">
      <c r="B14" s="12" t="s">
        <v>27</v>
      </c>
      <c r="C14" s="9"/>
      <c r="D14" s="9"/>
    </row>
    <row r="15">
      <c r="B15" s="12" t="s">
        <v>29</v>
      </c>
      <c r="C15" s="9"/>
      <c r="D15" s="9"/>
    </row>
    <row r="16">
      <c r="B16" s="12" t="s">
        <v>31</v>
      </c>
      <c r="C16" s="9"/>
      <c r="D16" s="9"/>
    </row>
    <row r="17">
      <c r="B17" s="12" t="s">
        <v>32</v>
      </c>
      <c r="C17" s="9"/>
      <c r="D17" s="9"/>
    </row>
    <row r="18">
      <c r="B18" s="12" t="s">
        <v>34</v>
      </c>
      <c r="C18" s="9"/>
      <c r="D18" s="9"/>
    </row>
    <row r="19">
      <c r="B19" s="12" t="s">
        <v>35</v>
      </c>
      <c r="C19" s="9"/>
      <c r="D19" s="9"/>
    </row>
    <row r="20">
      <c r="B20" s="12" t="s">
        <v>37</v>
      </c>
      <c r="C20" s="9"/>
      <c r="D20" s="9"/>
    </row>
    <row r="21">
      <c r="B21" s="16" t="s">
        <v>40</v>
      </c>
      <c r="C21" s="9"/>
      <c r="D21" s="9"/>
    </row>
    <row r="22">
      <c r="B22" s="12" t="s">
        <v>43</v>
      </c>
      <c r="C22" s="9"/>
      <c r="D22" s="9"/>
    </row>
    <row r="23">
      <c r="B23" s="17" t="s">
        <v>44</v>
      </c>
      <c r="C23" s="9"/>
      <c r="D23" s="9"/>
    </row>
    <row r="24">
      <c r="B24" s="12" t="s">
        <v>46</v>
      </c>
      <c r="C24" s="9"/>
      <c r="D24" s="9"/>
    </row>
    <row r="25">
      <c r="B25" s="17" t="s">
        <v>48</v>
      </c>
      <c r="C25" s="9"/>
      <c r="D25" s="9"/>
    </row>
    <row r="26">
      <c r="B26" s="18" t="s">
        <v>50</v>
      </c>
      <c r="C26" s="9"/>
      <c r="D26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0"/>
    <col customWidth="1" min="2" max="2" width="40.38"/>
    <col customWidth="1" min="3" max="3" width="79.25"/>
    <col customWidth="1" min="5" max="5" width="56.5"/>
  </cols>
  <sheetData>
    <row r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1" t="s">
        <v>8</v>
      </c>
      <c r="C2" s="1" t="s">
        <v>9</v>
      </c>
      <c r="D2" s="2"/>
      <c r="E2" s="4" t="s">
        <v>11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12</v>
      </c>
      <c r="B3" s="6" t="s">
        <v>13</v>
      </c>
      <c r="C3" s="6" t="s">
        <v>14</v>
      </c>
      <c r="D3" s="6" t="s">
        <v>15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12</v>
      </c>
      <c r="B4" s="6" t="s">
        <v>18</v>
      </c>
      <c r="C4" s="6" t="s">
        <v>20</v>
      </c>
      <c r="D4" s="6" t="s">
        <v>15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12</v>
      </c>
      <c r="B5" s="10" t="s">
        <v>24</v>
      </c>
      <c r="C5" s="11" t="s">
        <v>25</v>
      </c>
      <c r="D5" s="3" t="s">
        <v>26</v>
      </c>
      <c r="E5" s="13">
        <v>402.0</v>
      </c>
    </row>
    <row r="6">
      <c r="A6" s="3" t="s">
        <v>28</v>
      </c>
      <c r="B6" s="12" t="s">
        <v>27</v>
      </c>
      <c r="C6" s="14" t="s">
        <v>30</v>
      </c>
      <c r="D6" s="3" t="s">
        <v>26</v>
      </c>
      <c r="E6" s="15" t="s">
        <v>33</v>
      </c>
    </row>
    <row r="7">
      <c r="A7" s="3" t="s">
        <v>28</v>
      </c>
      <c r="B7" s="12" t="s">
        <v>29</v>
      </c>
      <c r="C7" s="14" t="s">
        <v>36</v>
      </c>
      <c r="D7" s="3" t="s">
        <v>26</v>
      </c>
      <c r="E7" s="13">
        <v>503.0</v>
      </c>
    </row>
    <row r="8">
      <c r="A8" s="3" t="s">
        <v>28</v>
      </c>
      <c r="B8" s="12" t="s">
        <v>31</v>
      </c>
      <c r="C8" s="14" t="s">
        <v>38</v>
      </c>
      <c r="D8" s="3" t="s">
        <v>26</v>
      </c>
      <c r="E8" s="13" t="s">
        <v>39</v>
      </c>
    </row>
    <row r="9">
      <c r="A9" s="3" t="s">
        <v>41</v>
      </c>
      <c r="B9" s="12" t="s">
        <v>32</v>
      </c>
      <c r="C9" s="14" t="s">
        <v>42</v>
      </c>
      <c r="D9" s="3" t="s">
        <v>26</v>
      </c>
      <c r="E9" s="13">
        <v>521.0</v>
      </c>
    </row>
    <row r="10">
      <c r="A10" s="3" t="s">
        <v>41</v>
      </c>
      <c r="B10" s="12" t="s">
        <v>34</v>
      </c>
      <c r="C10" s="14" t="s">
        <v>45</v>
      </c>
      <c r="D10" s="3" t="s">
        <v>26</v>
      </c>
      <c r="E10" s="13">
        <v>536.0</v>
      </c>
    </row>
    <row r="11">
      <c r="A11" s="3" t="s">
        <v>41</v>
      </c>
      <c r="B11" s="12" t="s">
        <v>35</v>
      </c>
      <c r="C11" s="14" t="s">
        <v>47</v>
      </c>
      <c r="D11" s="3" t="s">
        <v>26</v>
      </c>
      <c r="E11" s="13">
        <v>559.0</v>
      </c>
    </row>
    <row r="12">
      <c r="A12" s="3" t="s">
        <v>41</v>
      </c>
      <c r="B12" s="12" t="s">
        <v>37</v>
      </c>
      <c r="C12" s="14" t="s">
        <v>49</v>
      </c>
      <c r="D12" s="3" t="s">
        <v>26</v>
      </c>
      <c r="E12" s="13">
        <v>507.0</v>
      </c>
    </row>
    <row r="13">
      <c r="A13" s="19" t="s">
        <v>41</v>
      </c>
      <c r="B13" s="16" t="s">
        <v>40</v>
      </c>
      <c r="C13" s="20"/>
      <c r="D13" s="3" t="s">
        <v>26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3" t="s">
        <v>41</v>
      </c>
      <c r="B14" s="12" t="s">
        <v>43</v>
      </c>
      <c r="C14" s="14" t="s">
        <v>51</v>
      </c>
      <c r="D14" s="3" t="s">
        <v>26</v>
      </c>
      <c r="E14" s="13" t="s">
        <v>52</v>
      </c>
    </row>
    <row r="15">
      <c r="A15" s="1" t="s">
        <v>53</v>
      </c>
      <c r="B15" s="17" t="s">
        <v>44</v>
      </c>
      <c r="C15" s="22" t="s">
        <v>55</v>
      </c>
      <c r="D15" s="3" t="s">
        <v>26</v>
      </c>
    </row>
    <row r="16">
      <c r="A16" s="3" t="s">
        <v>41</v>
      </c>
      <c r="B16" s="12" t="s">
        <v>46</v>
      </c>
      <c r="C16" s="14" t="s">
        <v>56</v>
      </c>
      <c r="D16" s="3" t="s">
        <v>26</v>
      </c>
      <c r="E16" s="13">
        <v>650.0</v>
      </c>
    </row>
    <row r="17">
      <c r="A17" s="1" t="s">
        <v>53</v>
      </c>
      <c r="B17" s="17" t="s">
        <v>48</v>
      </c>
      <c r="C17" s="22" t="s">
        <v>55</v>
      </c>
      <c r="D17" s="3" t="s">
        <v>26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58</v>
      </c>
      <c r="B18" s="18" t="s">
        <v>50</v>
      </c>
      <c r="C18" s="23" t="s">
        <v>59</v>
      </c>
      <c r="D18" s="3" t="s">
        <v>26</v>
      </c>
    </row>
    <row r="20">
      <c r="C20" s="24"/>
    </row>
    <row r="21">
      <c r="A21" s="24" t="s">
        <v>62</v>
      </c>
      <c r="B21" s="24" t="s">
        <v>63</v>
      </c>
      <c r="C21" s="25"/>
    </row>
    <row r="22">
      <c r="A22" s="25" t="s">
        <v>24</v>
      </c>
      <c r="B22" s="25" t="s">
        <v>65</v>
      </c>
      <c r="C22" s="25"/>
    </row>
    <row r="23">
      <c r="A23" s="25" t="s">
        <v>27</v>
      </c>
      <c r="B23" s="25" t="s">
        <v>68</v>
      </c>
      <c r="C23" s="25"/>
    </row>
    <row r="24">
      <c r="A24" s="25" t="s">
        <v>29</v>
      </c>
      <c r="B24" s="25" t="s">
        <v>69</v>
      </c>
      <c r="C24" s="25"/>
    </row>
    <row r="25">
      <c r="A25" s="25" t="s">
        <v>31</v>
      </c>
      <c r="B25" s="25" t="s">
        <v>70</v>
      </c>
      <c r="C25" s="25"/>
    </row>
    <row r="26">
      <c r="A26" s="25" t="s">
        <v>32</v>
      </c>
      <c r="B26" s="25" t="s">
        <v>73</v>
      </c>
      <c r="C26" s="25"/>
    </row>
    <row r="27">
      <c r="A27" s="25" t="s">
        <v>34</v>
      </c>
      <c r="B27" s="25" t="s">
        <v>76</v>
      </c>
      <c r="C27" s="25"/>
    </row>
    <row r="28">
      <c r="A28" s="25" t="s">
        <v>35</v>
      </c>
      <c r="B28" s="25" t="s">
        <v>79</v>
      </c>
      <c r="C28" s="25"/>
    </row>
    <row r="29">
      <c r="A29" s="25" t="s">
        <v>37</v>
      </c>
      <c r="B29" s="25" t="s">
        <v>82</v>
      </c>
      <c r="C29" s="25"/>
    </row>
    <row r="30">
      <c r="A30" s="25" t="s">
        <v>43</v>
      </c>
      <c r="B30" s="25" t="s">
        <v>83</v>
      </c>
      <c r="C30" s="25"/>
    </row>
    <row r="31">
      <c r="A31" s="25" t="s">
        <v>44</v>
      </c>
      <c r="B31" s="25" t="s">
        <v>84</v>
      </c>
      <c r="C31" s="25"/>
    </row>
    <row r="32">
      <c r="A32" s="25" t="s">
        <v>46</v>
      </c>
      <c r="B32" s="25" t="s">
        <v>85</v>
      </c>
      <c r="C32" s="25"/>
    </row>
    <row r="33">
      <c r="A33" s="25" t="s">
        <v>48</v>
      </c>
      <c r="B33" s="25" t="s">
        <v>86</v>
      </c>
      <c r="C33" s="27">
        <v>-201506.0</v>
      </c>
    </row>
    <row r="34">
      <c r="A34" s="28" t="s">
        <v>50</v>
      </c>
      <c r="B34" s="28" t="s"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5">
      <c r="A5" s="1" t="s">
        <v>5</v>
      </c>
    </row>
    <row r="6">
      <c r="A6" s="1" t="s">
        <v>6</v>
      </c>
    </row>
    <row r="9">
      <c r="A9" s="3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30.25"/>
  </cols>
  <sheetData>
    <row r="2">
      <c r="A2" s="3" t="s">
        <v>54</v>
      </c>
    </row>
    <row r="5">
      <c r="A5" s="3" t="s">
        <v>12</v>
      </c>
      <c r="B5" s="3" t="s">
        <v>24</v>
      </c>
      <c r="C5" s="3" t="s">
        <v>25</v>
      </c>
    </row>
    <row r="6">
      <c r="A6" s="3" t="s">
        <v>28</v>
      </c>
      <c r="B6" s="3" t="s">
        <v>27</v>
      </c>
      <c r="C6" s="3" t="s">
        <v>57</v>
      </c>
    </row>
    <row r="7">
      <c r="A7" s="3" t="s">
        <v>28</v>
      </c>
      <c r="B7" s="3" t="s">
        <v>29</v>
      </c>
      <c r="C7" s="3" t="s">
        <v>36</v>
      </c>
    </row>
    <row r="8">
      <c r="A8" s="3" t="s">
        <v>28</v>
      </c>
      <c r="B8" s="3" t="s">
        <v>31</v>
      </c>
      <c r="C8" s="3" t="s">
        <v>38</v>
      </c>
    </row>
    <row r="9">
      <c r="A9" s="3" t="s">
        <v>41</v>
      </c>
      <c r="B9" s="3" t="s">
        <v>32</v>
      </c>
      <c r="C9" s="3" t="s">
        <v>42</v>
      </c>
    </row>
    <row r="10">
      <c r="A10" s="3" t="s">
        <v>41</v>
      </c>
      <c r="B10" s="3" t="s">
        <v>34</v>
      </c>
      <c r="C10" s="3" t="s">
        <v>45</v>
      </c>
    </row>
    <row r="11">
      <c r="A11" s="3" t="s">
        <v>41</v>
      </c>
      <c r="B11" s="3" t="s">
        <v>35</v>
      </c>
      <c r="C11" s="3" t="s">
        <v>60</v>
      </c>
    </row>
    <row r="12">
      <c r="A12" s="3" t="s">
        <v>41</v>
      </c>
      <c r="B12" s="3"/>
      <c r="C12" s="3" t="s">
        <v>61</v>
      </c>
    </row>
    <row r="13">
      <c r="A13" s="3" t="s">
        <v>41</v>
      </c>
      <c r="B13" s="3" t="s">
        <v>37</v>
      </c>
      <c r="C13" s="3" t="s">
        <v>49</v>
      </c>
    </row>
    <row r="14">
      <c r="A14" s="3" t="s">
        <v>41</v>
      </c>
      <c r="B14" s="3" t="s">
        <v>40</v>
      </c>
      <c r="C14" s="3"/>
    </row>
    <row r="15">
      <c r="A15" s="3" t="s">
        <v>41</v>
      </c>
      <c r="B15" s="3" t="s">
        <v>43</v>
      </c>
      <c r="C15" s="3" t="s">
        <v>51</v>
      </c>
    </row>
    <row r="16">
      <c r="A16" s="1" t="s">
        <v>53</v>
      </c>
      <c r="B16" s="1" t="s">
        <v>44</v>
      </c>
      <c r="C16" s="1" t="s">
        <v>55</v>
      </c>
    </row>
    <row r="17">
      <c r="A17" s="3" t="s">
        <v>41</v>
      </c>
      <c r="B17" s="3" t="s">
        <v>46</v>
      </c>
      <c r="C17" s="3" t="s">
        <v>56</v>
      </c>
    </row>
    <row r="18">
      <c r="A18" s="1" t="s">
        <v>53</v>
      </c>
      <c r="B18" s="1" t="s">
        <v>48</v>
      </c>
      <c r="C18" s="1" t="s">
        <v>55</v>
      </c>
    </row>
    <row r="19">
      <c r="A19" s="3" t="s">
        <v>58</v>
      </c>
      <c r="B19" s="3" t="s">
        <v>50</v>
      </c>
      <c r="C19" s="3" t="s">
        <v>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3.13"/>
  </cols>
  <sheetData>
    <row r="1">
      <c r="A1" s="1" t="s">
        <v>64</v>
      </c>
      <c r="B1" s="1" t="s">
        <v>66</v>
      </c>
      <c r="C1" s="1" t="s">
        <v>67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71</v>
      </c>
      <c r="B2" s="3" t="s">
        <v>72</v>
      </c>
    </row>
    <row r="3">
      <c r="A3" s="3" t="s">
        <v>74</v>
      </c>
      <c r="B3" s="3" t="s">
        <v>75</v>
      </c>
    </row>
    <row r="4">
      <c r="A4" s="3" t="s">
        <v>77</v>
      </c>
      <c r="B4" s="3" t="s">
        <v>78</v>
      </c>
    </row>
    <row r="5">
      <c r="A5" s="3" t="s">
        <v>50</v>
      </c>
      <c r="B5" s="3" t="s">
        <v>80</v>
      </c>
    </row>
    <row r="6">
      <c r="A6" s="26" t="s">
        <v>81</v>
      </c>
      <c r="B6" s="26" t="s">
        <v>87</v>
      </c>
    </row>
    <row r="7">
      <c r="A7" s="26" t="s">
        <v>88</v>
      </c>
      <c r="B7" s="26" t="s">
        <v>89</v>
      </c>
    </row>
    <row r="8">
      <c r="A8" s="26" t="s">
        <v>90</v>
      </c>
      <c r="B8" s="26" t="s">
        <v>91</v>
      </c>
    </row>
    <row r="9">
      <c r="A9" s="26" t="s">
        <v>92</v>
      </c>
      <c r="B9" s="26" t="s">
        <v>93</v>
      </c>
    </row>
    <row r="10">
      <c r="A10" s="3" t="s">
        <v>94</v>
      </c>
      <c r="B10" s="3" t="s">
        <v>95</v>
      </c>
    </row>
    <row r="11">
      <c r="A11" s="3" t="s">
        <v>96</v>
      </c>
      <c r="B11" s="3" t="s">
        <v>97</v>
      </c>
    </row>
    <row r="12">
      <c r="A12" s="3" t="s">
        <v>98</v>
      </c>
      <c r="B12" s="3" t="s">
        <v>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18.25"/>
    <col customWidth="1" min="3" max="3" width="31.63"/>
  </cols>
  <sheetData>
    <row r="1">
      <c r="A1" s="3" t="s">
        <v>101</v>
      </c>
      <c r="C1" s="29"/>
    </row>
    <row r="2">
      <c r="A2" s="3" t="s">
        <v>102</v>
      </c>
      <c r="B2" s="30" t="str">
        <f>HYPERLINK("https://docs.google.com/spreadsheets/d/1ppc-IqPPFYunRjECVXxqOlHmcy-ciOGV02R-CIbtEEQ/edit","Open Report")</f>
        <v>Open Report</v>
      </c>
      <c r="C2" s="29" t="s">
        <v>104</v>
      </c>
    </row>
    <row r="3">
      <c r="A3" s="3" t="s">
        <v>105</v>
      </c>
      <c r="B3" s="30" t="str">
        <f>HYPERLINK("https://docs.google.com/spreadsheets/d/1JJxYQ__HDBcDc2RePeIYPhZNePfHprBNlePAXnrR5HA/edit","Open Report")</f>
        <v>Open Report</v>
      </c>
      <c r="C3" s="29" t="s">
        <v>104</v>
      </c>
    </row>
    <row r="4">
      <c r="A4" s="3" t="s">
        <v>107</v>
      </c>
      <c r="B4" s="30" t="str">
        <f>HYPERLINK("https://docs.google.com/spreadsheets/d/1bN11KcsAyIZdFKvXhp5KHv2YUBduJKfjjKSOckMTVHo/edit","Open Report")</f>
        <v>Open Report</v>
      </c>
      <c r="C4" s="29" t="s">
        <v>104</v>
      </c>
    </row>
    <row r="5">
      <c r="A5" s="3" t="s">
        <v>108</v>
      </c>
      <c r="B5" s="30" t="str">
        <f>HYPERLINK("https://docs.google.com/spreadsheets/d/1a_kIF22Xw3tJ3C97ANMuEzYiwgpaTJpmgWcWolUAVN4/edit","Open Report")</f>
        <v>Open Report</v>
      </c>
      <c r="C5" s="29" t="s">
        <v>104</v>
      </c>
    </row>
    <row r="6">
      <c r="A6" s="3" t="s">
        <v>109</v>
      </c>
      <c r="B6" s="30" t="str">
        <f>HYPERLINK("https://docs.google.com/spreadsheets/d/10bWEnN-N0LBfUrtV594Ekh-P4HglPLHapbqT3mODgUs/edit","Open Report")</f>
        <v>Open Report</v>
      </c>
      <c r="C6" s="29" t="s">
        <v>104</v>
      </c>
    </row>
    <row r="7">
      <c r="A7" s="3" t="s">
        <v>103</v>
      </c>
      <c r="B7" s="30" t="str">
        <f>HYPERLINK("https://docs.google.com/spreadsheets/d/1s55VkjRtAJc0nwc0ia3Yt2AjbsNYgskLXdL28a2wgMk/edit","Open Report")</f>
        <v>Open Report</v>
      </c>
      <c r="C7" s="29" t="s">
        <v>104</v>
      </c>
    </row>
    <row r="8">
      <c r="A8" s="3" t="s">
        <v>110</v>
      </c>
      <c r="B8" s="30" t="str">
        <f>HYPERLINK("https://docs.google.com/spreadsheets/d/14U9tsaBYwGwJgtqqzTu4CbT61PMf5BU4Yco7EyZ9gG/edit","Open Report")</f>
        <v>Open Report</v>
      </c>
      <c r="C8" s="29" t="s">
        <v>104</v>
      </c>
    </row>
    <row r="9">
      <c r="A9" s="3" t="s">
        <v>111</v>
      </c>
      <c r="B9" s="30" t="str">
        <f>HYPERLINK("https://docs.google.com/spreadsheets/d/1HODtiOHWnsfBlt5Pb4xyxNf0VF3wg5NBhtEzjAKXmBc/edit","Open Report")</f>
        <v>Open Report</v>
      </c>
      <c r="C9" s="29" t="s">
        <v>112</v>
      </c>
    </row>
    <row r="10">
      <c r="A10" s="3" t="s">
        <v>113</v>
      </c>
      <c r="B10" s="30" t="str">
        <f>HYPERLINK("https://docs.google.com/spreadsheets/d/1xqHoVe5TCY2VVDxQUG22iMvmz94vmAWxpifZqrqRfX8/edit","Open Report")</f>
        <v>Open Report</v>
      </c>
      <c r="C10" s="29" t="s">
        <v>104</v>
      </c>
    </row>
    <row r="11">
      <c r="C11" s="29"/>
    </row>
    <row r="12">
      <c r="A12" s="3" t="s">
        <v>114</v>
      </c>
      <c r="C12" s="29" t="s">
        <v>104</v>
      </c>
    </row>
    <row r="13">
      <c r="A13" s="3" t="s">
        <v>115</v>
      </c>
      <c r="C13" s="29" t="s">
        <v>104</v>
      </c>
    </row>
    <row r="14">
      <c r="A14" s="3" t="s">
        <v>116</v>
      </c>
      <c r="C14" s="29" t="s">
        <v>104</v>
      </c>
    </row>
    <row r="15">
      <c r="A15" s="3" t="s">
        <v>117</v>
      </c>
      <c r="C15" s="29" t="s">
        <v>104</v>
      </c>
    </row>
    <row r="16">
      <c r="A16" s="3" t="s">
        <v>118</v>
      </c>
      <c r="C16" s="29" t="s">
        <v>104</v>
      </c>
    </row>
    <row r="17">
      <c r="A17" s="3" t="s">
        <v>119</v>
      </c>
      <c r="C17" s="29" t="s">
        <v>104</v>
      </c>
      <c r="D17" s="3" t="s">
        <v>120</v>
      </c>
    </row>
    <row r="18">
      <c r="C18" s="31"/>
    </row>
    <row r="19">
      <c r="C19" s="31"/>
    </row>
    <row r="20">
      <c r="C20" s="31"/>
    </row>
    <row r="21">
      <c r="C21" s="31"/>
    </row>
    <row r="22">
      <c r="C22" s="31"/>
    </row>
    <row r="23">
      <c r="C23" s="31"/>
    </row>
    <row r="24">
      <c r="C24" s="31"/>
    </row>
    <row r="25">
      <c r="C25" s="31"/>
    </row>
    <row r="26">
      <c r="C26" s="31"/>
    </row>
    <row r="27">
      <c r="C27" s="31"/>
    </row>
    <row r="28">
      <c r="C28" s="31"/>
    </row>
    <row r="29">
      <c r="C29" s="31"/>
    </row>
    <row r="30">
      <c r="C30" s="31"/>
    </row>
    <row r="31">
      <c r="C31" s="31"/>
    </row>
    <row r="32">
      <c r="C32" s="31"/>
    </row>
    <row r="33">
      <c r="C33" s="31"/>
    </row>
    <row r="34">
      <c r="C34" s="31"/>
    </row>
    <row r="35">
      <c r="C35" s="31"/>
    </row>
    <row r="36">
      <c r="C36" s="31"/>
    </row>
    <row r="37">
      <c r="C37" s="31"/>
    </row>
    <row r="38">
      <c r="C38" s="31"/>
    </row>
    <row r="39">
      <c r="C39" s="31"/>
    </row>
    <row r="40">
      <c r="C40" s="31"/>
    </row>
    <row r="41">
      <c r="C41" s="31"/>
    </row>
    <row r="42">
      <c r="C42" s="31"/>
    </row>
    <row r="43">
      <c r="C43" s="31"/>
    </row>
    <row r="44">
      <c r="C44" s="31"/>
    </row>
    <row r="45">
      <c r="C45" s="31"/>
    </row>
    <row r="46">
      <c r="C46" s="31"/>
    </row>
    <row r="47">
      <c r="C47" s="31"/>
    </row>
    <row r="48">
      <c r="C48" s="31"/>
    </row>
    <row r="49">
      <c r="C49" s="31"/>
    </row>
    <row r="50">
      <c r="C50" s="31"/>
    </row>
    <row r="51">
      <c r="C51" s="31"/>
    </row>
    <row r="52">
      <c r="C52" s="31"/>
    </row>
    <row r="53">
      <c r="C53" s="31"/>
    </row>
    <row r="54">
      <c r="C54" s="31"/>
    </row>
    <row r="55">
      <c r="C55" s="31"/>
    </row>
    <row r="56">
      <c r="C56" s="31"/>
    </row>
    <row r="57">
      <c r="C57" s="31"/>
    </row>
    <row r="58">
      <c r="C58" s="31"/>
    </row>
    <row r="59">
      <c r="C59" s="31"/>
    </row>
    <row r="60">
      <c r="C60" s="31"/>
    </row>
    <row r="61">
      <c r="C61" s="31"/>
    </row>
    <row r="62">
      <c r="C62" s="31"/>
    </row>
    <row r="63">
      <c r="C63" s="31"/>
    </row>
    <row r="64">
      <c r="C64" s="31"/>
    </row>
    <row r="65">
      <c r="C65" s="31"/>
    </row>
    <row r="66">
      <c r="C66" s="31"/>
    </row>
    <row r="67">
      <c r="C67" s="31"/>
    </row>
    <row r="68">
      <c r="C68" s="31"/>
    </row>
    <row r="69">
      <c r="C69" s="31"/>
    </row>
    <row r="70">
      <c r="C70" s="31"/>
    </row>
    <row r="71">
      <c r="C71" s="31"/>
    </row>
    <row r="72">
      <c r="C72" s="31"/>
    </row>
    <row r="73">
      <c r="C73" s="31"/>
    </row>
    <row r="74">
      <c r="C74" s="31"/>
    </row>
    <row r="75">
      <c r="C75" s="31"/>
    </row>
    <row r="76">
      <c r="C76" s="31"/>
    </row>
    <row r="77">
      <c r="C77" s="31"/>
    </row>
    <row r="78">
      <c r="C78" s="31"/>
    </row>
    <row r="79">
      <c r="C79" s="31"/>
    </row>
    <row r="80">
      <c r="C80" s="31"/>
    </row>
    <row r="81">
      <c r="C81" s="31"/>
    </row>
    <row r="82">
      <c r="C82" s="31"/>
    </row>
    <row r="83">
      <c r="C83" s="31"/>
    </row>
    <row r="84">
      <c r="C84" s="31"/>
    </row>
    <row r="85">
      <c r="C85" s="31"/>
    </row>
    <row r="86">
      <c r="C86" s="31"/>
    </row>
    <row r="87">
      <c r="C87" s="31"/>
    </row>
    <row r="88">
      <c r="C88" s="31"/>
    </row>
    <row r="89">
      <c r="C89" s="31"/>
    </row>
    <row r="90">
      <c r="C90" s="31"/>
    </row>
    <row r="91">
      <c r="C91" s="31"/>
    </row>
    <row r="92">
      <c r="C92" s="31"/>
    </row>
    <row r="93">
      <c r="C93" s="31"/>
    </row>
    <row r="94">
      <c r="C94" s="31"/>
    </row>
    <row r="95">
      <c r="C95" s="31"/>
    </row>
    <row r="96">
      <c r="C96" s="31"/>
    </row>
    <row r="97">
      <c r="C97" s="31"/>
    </row>
    <row r="98">
      <c r="C98" s="31"/>
    </row>
    <row r="99">
      <c r="C99" s="31"/>
    </row>
    <row r="100">
      <c r="C100" s="31"/>
    </row>
    <row r="101">
      <c r="C101" s="31"/>
    </row>
    <row r="102">
      <c r="C102" s="31"/>
    </row>
    <row r="103">
      <c r="C103" s="31"/>
    </row>
    <row r="104">
      <c r="C104" s="31"/>
    </row>
    <row r="105">
      <c r="C105" s="31"/>
    </row>
    <row r="106">
      <c r="C106" s="31"/>
    </row>
    <row r="107">
      <c r="C107" s="31"/>
    </row>
    <row r="108">
      <c r="C108" s="31"/>
    </row>
    <row r="109">
      <c r="C109" s="31"/>
    </row>
    <row r="110">
      <c r="C110" s="31"/>
    </row>
    <row r="111">
      <c r="C111" s="31"/>
    </row>
    <row r="112">
      <c r="C112" s="31"/>
    </row>
    <row r="113">
      <c r="C113" s="31"/>
    </row>
    <row r="114">
      <c r="C114" s="31"/>
    </row>
    <row r="115">
      <c r="C115" s="31"/>
    </row>
    <row r="116">
      <c r="C116" s="31"/>
    </row>
    <row r="117">
      <c r="C117" s="31"/>
    </row>
    <row r="118">
      <c r="C118" s="31"/>
    </row>
    <row r="119">
      <c r="C119" s="31"/>
    </row>
    <row r="120">
      <c r="C120" s="31"/>
    </row>
    <row r="121">
      <c r="C121" s="31"/>
    </row>
    <row r="122">
      <c r="C122" s="31"/>
    </row>
    <row r="123">
      <c r="C123" s="31"/>
    </row>
    <row r="124">
      <c r="C124" s="31"/>
    </row>
    <row r="125">
      <c r="C125" s="31"/>
    </row>
    <row r="126">
      <c r="C126" s="31"/>
    </row>
    <row r="127">
      <c r="C127" s="31"/>
    </row>
    <row r="128">
      <c r="C128" s="31"/>
    </row>
    <row r="129">
      <c r="C129" s="31"/>
    </row>
    <row r="130">
      <c r="C130" s="31"/>
    </row>
    <row r="131">
      <c r="C131" s="31"/>
    </row>
    <row r="132">
      <c r="C132" s="31"/>
    </row>
    <row r="133">
      <c r="C133" s="31"/>
    </row>
    <row r="134">
      <c r="C134" s="31"/>
    </row>
    <row r="135">
      <c r="C135" s="31"/>
    </row>
    <row r="136">
      <c r="C136" s="31"/>
    </row>
    <row r="137">
      <c r="C137" s="31"/>
    </row>
    <row r="138">
      <c r="C138" s="31"/>
    </row>
    <row r="139">
      <c r="C139" s="31"/>
    </row>
    <row r="140">
      <c r="C140" s="31"/>
    </row>
    <row r="141">
      <c r="C141" s="31"/>
    </row>
    <row r="142">
      <c r="C142" s="31"/>
    </row>
    <row r="143">
      <c r="C143" s="31"/>
    </row>
    <row r="144"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  <row r="1000">
      <c r="C1000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0"/>
  </cols>
  <sheetData>
    <row r="2">
      <c r="A2" s="3" t="s">
        <v>103</v>
      </c>
      <c r="B2" s="30" t="str">
        <f>HYPERLINK("https://docs.google.com/spreadsheets/d/1s55VkjRtAJc0nwc0ia3Yt2AjbsNYgskLXdL28a2wgMk/edit","Open Report")</f>
        <v>Open Report</v>
      </c>
      <c r="C2" s="29" t="s">
        <v>104</v>
      </c>
    </row>
    <row r="3">
      <c r="A3" s="3" t="s">
        <v>106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3" t="s">
        <v>121</v>
      </c>
    </row>
    <row r="2">
      <c r="A2" s="3" t="s">
        <v>122</v>
      </c>
    </row>
    <row r="3">
      <c r="A3" s="3" t="s">
        <v>123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124</v>
      </c>
    </row>
    <row r="3">
      <c r="A3" s="3" t="s">
        <v>125</v>
      </c>
    </row>
    <row r="4">
      <c r="A4" s="3" t="s">
        <v>126</v>
      </c>
    </row>
  </sheetData>
  <drawing r:id="rId1"/>
</worksheet>
</file>